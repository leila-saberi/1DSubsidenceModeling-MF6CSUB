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arll\Documents\GitHub\1D_CSUB\V54_RESETshallow\source_data\"/>
    </mc:Choice>
  </mc:AlternateContent>
  <xr:revisionPtr revIDLastSave="0" documentId="13_ncr:1_{0F9B9A92-6A20-4233-8EA8-6C17DA6DA532}" xr6:coauthVersionLast="47" xr6:coauthVersionMax="47" xr10:uidLastSave="{00000000-0000-0000-0000-000000000000}"/>
  <bookViews>
    <workbookView xWindow="7860" yWindow="1920" windowWidth="19005" windowHeight="15585" xr2:uid="{5DFCA8DB-E838-45AE-8EA2-ACBA3F797179}"/>
  </bookViews>
  <sheets>
    <sheet name="G158_RESET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8" i="1"/>
  <c r="L8" i="1"/>
  <c r="K8" i="1"/>
  <c r="M7" i="1"/>
  <c r="L7" i="1"/>
  <c r="K7" i="1"/>
  <c r="M4" i="1" l="1"/>
  <c r="K4" i="1"/>
  <c r="L2" i="1"/>
  <c r="K2" i="1"/>
</calcChain>
</file>

<file path=xl/sharedStrings.xml><?xml version="1.0" encoding="utf-8"?>
<sst xmlns="http://schemas.openxmlformats.org/spreadsheetml/2006/main" count="36" uniqueCount="31">
  <si>
    <t>Lat</t>
  </si>
  <si>
    <t>Long</t>
  </si>
  <si>
    <t>Upper Aq thick</t>
  </si>
  <si>
    <t>ft</t>
  </si>
  <si>
    <t>Upper</t>
  </si>
  <si>
    <t>Lower aq thick</t>
  </si>
  <si>
    <t>Corcoran</t>
  </si>
  <si>
    <t>Upper PCS0/PCH</t>
  </si>
  <si>
    <t>ft of drawdown</t>
  </si>
  <si>
    <t>Lower</t>
  </si>
  <si>
    <t>Lower PCS0/PCH</t>
  </si>
  <si>
    <t>cdelay</t>
  </si>
  <si>
    <t>pcs0</t>
  </si>
  <si>
    <t>ib_kv</t>
  </si>
  <si>
    <t>cg_ske_cr</t>
  </si>
  <si>
    <t>thick_frac</t>
  </si>
  <si>
    <t>parameter</t>
  </si>
  <si>
    <t>thk</t>
  </si>
  <si>
    <t>nodelay</t>
  </si>
  <si>
    <t>delay</t>
  </si>
  <si>
    <t>rnb</t>
  </si>
  <si>
    <t>ssv_cc</t>
  </si>
  <si>
    <t>sse_cr</t>
  </si>
  <si>
    <t>theta</t>
  </si>
  <si>
    <t>kv</t>
  </si>
  <si>
    <t>h0</t>
  </si>
  <si>
    <t>corcoran</t>
  </si>
  <si>
    <t>depth</t>
  </si>
  <si>
    <t>thickness</t>
  </si>
  <si>
    <t>CVHM2</t>
  </si>
  <si>
    <t>used par from 19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</si>
</sst>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11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 refreshError="1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 refreshError="1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 refreshError="1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 refreshError="1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M33"/>
  <sheetViews>
    <sheetView tabSelected="1" zoomScale="80" zoomScaleNormal="80" workbookViewId="0">
      <selection activeCell="L32" sqref="L32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8" max="18" width="21.85546875" bestFit="1" customWidth="1"/>
    <col min="19" max="19" width="67.85546875" bestFit="1" customWidth="1"/>
    <col min="20" max="20" width="24" bestFit="1" customWidth="1"/>
  </cols>
  <sheetData>
    <row r="1" spans="2:13" x14ac:dyDescent="0.25">
      <c r="B1" t="s">
        <v>0</v>
      </c>
      <c r="C1">
        <v>35.208300000000001</v>
      </c>
      <c r="J1" t="s">
        <v>16</v>
      </c>
      <c r="K1" t="s">
        <v>4</v>
      </c>
      <c r="L1" t="s">
        <v>6</v>
      </c>
      <c r="M1" t="s">
        <v>9</v>
      </c>
    </row>
    <row r="2" spans="2:13" x14ac:dyDescent="0.25">
      <c r="B2" t="s">
        <v>1</v>
      </c>
      <c r="C2">
        <v>-119.003</v>
      </c>
      <c r="J2" t="s">
        <v>17</v>
      </c>
      <c r="K2">
        <f>C3</f>
        <v>350</v>
      </c>
      <c r="L2">
        <f>C5</f>
        <v>20</v>
      </c>
      <c r="M2">
        <f>C4</f>
        <v>690</v>
      </c>
    </row>
    <row r="3" spans="2:13" x14ac:dyDescent="0.25">
      <c r="B3" s="2" t="s">
        <v>2</v>
      </c>
      <c r="C3">
        <v>350</v>
      </c>
      <c r="D3" t="s">
        <v>3</v>
      </c>
      <c r="J3" t="s">
        <v>11</v>
      </c>
      <c r="K3" t="s">
        <v>18</v>
      </c>
      <c r="L3" t="s">
        <v>19</v>
      </c>
      <c r="M3" t="s">
        <v>19</v>
      </c>
    </row>
    <row r="4" spans="2:13" x14ac:dyDescent="0.25">
      <c r="B4" s="2" t="s">
        <v>5</v>
      </c>
      <c r="C4">
        <v>690</v>
      </c>
      <c r="D4" t="s">
        <v>3</v>
      </c>
      <c r="J4" t="s">
        <v>12</v>
      </c>
      <c r="K4" s="3">
        <f>C6</f>
        <v>65</v>
      </c>
      <c r="L4">
        <v>40</v>
      </c>
      <c r="M4" s="3">
        <f>C7</f>
        <v>65</v>
      </c>
    </row>
    <row r="5" spans="2:13" x14ac:dyDescent="0.25">
      <c r="B5" t="s">
        <v>6</v>
      </c>
      <c r="C5">
        <v>20</v>
      </c>
      <c r="D5" t="s">
        <v>3</v>
      </c>
      <c r="J5" t="s">
        <v>15</v>
      </c>
    </row>
    <row r="6" spans="2:13" x14ac:dyDescent="0.25">
      <c r="B6" s="2" t="s">
        <v>7</v>
      </c>
      <c r="C6" s="3">
        <v>65</v>
      </c>
      <c r="D6" t="s">
        <v>8</v>
      </c>
      <c r="J6" t="s">
        <v>20</v>
      </c>
    </row>
    <row r="7" spans="2:13" x14ac:dyDescent="0.25">
      <c r="B7" s="2" t="s">
        <v>10</v>
      </c>
      <c r="C7" s="3">
        <v>65</v>
      </c>
      <c r="D7" t="s">
        <v>8</v>
      </c>
      <c r="J7" t="s">
        <v>21</v>
      </c>
      <c r="K7" s="8">
        <f>2.3*10^-4</f>
        <v>2.2999999999999998E-4</v>
      </c>
      <c r="L7" s="8">
        <f>2.3*10^-4</f>
        <v>2.2999999999999998E-4</v>
      </c>
      <c r="M7" s="8">
        <f>2.3*10^-4</f>
        <v>2.2999999999999998E-4</v>
      </c>
    </row>
    <row r="8" spans="2:13" x14ac:dyDescent="0.25">
      <c r="B8" s="2"/>
      <c r="C8" s="3"/>
      <c r="J8" t="s">
        <v>22</v>
      </c>
      <c r="K8" s="8">
        <f>0.0000028</f>
        <v>2.7999999999999999E-6</v>
      </c>
      <c r="L8" s="8">
        <f>0.0000028</f>
        <v>2.7999999999999999E-6</v>
      </c>
      <c r="M8" s="8">
        <f>0.0000028</f>
        <v>2.7999999999999999E-6</v>
      </c>
    </row>
    <row r="9" spans="2:13" x14ac:dyDescent="0.25">
      <c r="B9" s="10"/>
      <c r="C9" s="10"/>
      <c r="D9" s="10"/>
      <c r="E9" s="10"/>
      <c r="F9" s="10"/>
      <c r="G9" s="10"/>
      <c r="J9" t="s">
        <v>23</v>
      </c>
      <c r="K9" s="9">
        <v>0.4</v>
      </c>
      <c r="L9" s="9">
        <v>0.4</v>
      </c>
      <c r="M9" s="9">
        <v>0.4</v>
      </c>
    </row>
    <row r="10" spans="2:13" x14ac:dyDescent="0.25">
      <c r="B10" s="2"/>
      <c r="J10" t="s">
        <v>24</v>
      </c>
      <c r="K10" s="9">
        <v>1.5200000000000001E-3</v>
      </c>
      <c r="L10" s="9">
        <v>1.5200000000000001E-3</v>
      </c>
      <c r="M10" s="9">
        <v>1.5200000000000001E-3</v>
      </c>
    </row>
    <row r="11" spans="2:13" x14ac:dyDescent="0.25">
      <c r="D11" s="4" t="s">
        <v>30</v>
      </c>
      <c r="J11" t="s">
        <v>25</v>
      </c>
      <c r="K11" s="9">
        <v>0</v>
      </c>
      <c r="L11" s="9">
        <v>0</v>
      </c>
      <c r="M11" s="9">
        <v>0</v>
      </c>
    </row>
    <row r="12" spans="2:13" x14ac:dyDescent="0.25">
      <c r="D12" s="1"/>
      <c r="E12" s="1"/>
      <c r="J12" t="s">
        <v>14</v>
      </c>
      <c r="K12" s="6">
        <v>2.7999999999999999E-6</v>
      </c>
      <c r="L12" s="6">
        <v>2.7999999999999999E-6</v>
      </c>
      <c r="M12" s="6">
        <v>2.7999999999999999E-6</v>
      </c>
    </row>
    <row r="13" spans="2:13" x14ac:dyDescent="0.25">
      <c r="C13" s="1"/>
      <c r="D13" s="1"/>
      <c r="E13" s="1"/>
      <c r="F13" s="1"/>
      <c r="G13" s="1"/>
      <c r="J13" s="1" t="s">
        <v>13</v>
      </c>
      <c r="K13" s="7">
        <v>9.9999999999999995E-7</v>
      </c>
      <c r="L13" s="7">
        <v>9.9999999999999995E-7</v>
      </c>
      <c r="M13" s="7">
        <v>9.9999999999999995E-7</v>
      </c>
    </row>
    <row r="14" spans="2:13" x14ac:dyDescent="0.25">
      <c r="E14" s="5"/>
      <c r="F14" s="6"/>
      <c r="G14" s="5"/>
    </row>
    <row r="15" spans="2:13" x14ac:dyDescent="0.25">
      <c r="E15" s="5"/>
      <c r="F15" s="6"/>
      <c r="G15" s="5"/>
    </row>
    <row r="16" spans="2:13" x14ac:dyDescent="0.25">
      <c r="E16" s="5"/>
      <c r="F16" s="6"/>
      <c r="G16" s="5"/>
    </row>
    <row r="17" spans="2:7" x14ac:dyDescent="0.25">
      <c r="E17" s="6"/>
      <c r="F17" s="6"/>
      <c r="G17" s="6"/>
    </row>
    <row r="18" spans="2:7" x14ac:dyDescent="0.25">
      <c r="E18" s="6"/>
      <c r="F18" s="6"/>
      <c r="G18" s="6"/>
    </row>
    <row r="19" spans="2:7" x14ac:dyDescent="0.25">
      <c r="E19" s="6"/>
      <c r="G19" s="6"/>
    </row>
    <row r="20" spans="2:7" x14ac:dyDescent="0.25">
      <c r="B20" s="4"/>
      <c r="C20" s="4" t="s">
        <v>29</v>
      </c>
      <c r="D20" s="4" t="s">
        <v>26</v>
      </c>
      <c r="E20" s="4"/>
      <c r="F20" s="4"/>
    </row>
    <row r="21" spans="2:7" x14ac:dyDescent="0.25">
      <c r="C21" t="s">
        <v>27</v>
      </c>
      <c r="D21">
        <v>350</v>
      </c>
    </row>
    <row r="22" spans="2:7" x14ac:dyDescent="0.25">
      <c r="C22" t="s">
        <v>28</v>
      </c>
      <c r="D22">
        <v>20</v>
      </c>
    </row>
    <row r="33" ht="15" customHeight="1" x14ac:dyDescent="0.25"/>
  </sheetData>
  <mergeCells count="1"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Props1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G158_RESET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Marisa Earll</cp:lastModifiedBy>
  <dcterms:created xsi:type="dcterms:W3CDTF">2024-04-22T23:03:10Z</dcterms:created>
  <dcterms:modified xsi:type="dcterms:W3CDTF">2025-09-04T00:03:34Z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