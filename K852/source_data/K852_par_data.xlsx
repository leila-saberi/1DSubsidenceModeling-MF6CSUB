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MultiIB\1D_CSUB\K852\source_data\"/>
    </mc:Choice>
  </mc:AlternateContent>
  <xr:revisionPtr revIDLastSave="0" documentId="13_ncr:1_{C9D5D05F-95FE-485C-8755-B3D60EE4E6FE}" xr6:coauthVersionLast="47" xr6:coauthVersionMax="47" xr10:uidLastSave="{00000000-0000-0000-0000-000000000000}"/>
  <bookViews>
    <workbookView xWindow="-120" yWindow="-120" windowWidth="29040" windowHeight="15720" xr2:uid="{5DFCA8DB-E838-45AE-8EA2-ACBA3F797179}"/>
  </bookViews>
  <sheets>
    <sheet name="K852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K8" i="1"/>
  <c r="K7" i="1"/>
  <c r="L2" i="1"/>
  <c r="L4" i="1"/>
  <c r="K4" i="1"/>
  <c r="K2" i="1"/>
</calcChain>
</file>

<file path=xl/sharedStrings.xml><?xml version="1.0" encoding="utf-8"?>
<sst xmlns="http://schemas.openxmlformats.org/spreadsheetml/2006/main" count="56" uniqueCount="45">
  <si>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</si>
  <si>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</si>
  <si>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</si>
  <si>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</si>
  <si>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</si>
  <si>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</si>
  <si>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</si>
  <si>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</si>
  <si>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Kv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</si>
  <si>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</si>
  <si>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</si>
  <si>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</si>
  <si>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</si>
  <si>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</si>
  <si>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</si>
  <si>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</si>
  <si>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</si>
  <si>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</si>
  <si>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</si>
  <si>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</si>
  <si>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</si>
  <si>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</si>
  <si>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</si>
  <si>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</si>
  <si>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</si>
  <si>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</si>
  <si>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</si>
  <si>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</si>
  <si>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</si>
  <si>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</si>
  <si>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</si>
  <si>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</si>
  <si>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</si>
  <si>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</si>
  <si>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</si>
  <si>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</si>
  <si>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</si>
  <si>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</si>
  <si>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delay</t>
  </si>
  <si>
    <t>rnb</t>
  </si>
  <si>
    <t>ssv_cc</t>
  </si>
  <si>
    <t>sse_cr</t>
  </si>
  <si>
    <t>theta</t>
  </si>
  <si>
    <t>kv</t>
  </si>
  <si>
    <t>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</si>
</sst>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quotePrefix="1" applyAlignment="1">
      <alignment horizontal="center"/>
    </xf>
    <xf numFmtId="11" fontId="0" fillId="0" borderId="0" xfId="0" applyNumberFormat="1"/>
    <xf numFmtId="0" fontId="0" fillId="0" borderId="0" xfId="0" applyAlignment="1">
      <alignment wrapText="1"/>
    </xf>
    <xf numFmtId="11" fontId="1" fillId="0" borderId="0" xfId="0" applyNumberFormat="1" applyFont="1"/>
    <xf numFmtId="0" fontId="1" fillId="0" borderId="0" xfId="0" applyFont="1"/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S33"/>
  <sheetViews>
    <sheetView tabSelected="1" zoomScale="80" zoomScaleNormal="80" workbookViewId="0">
      <selection activeCell="L19" sqref="L19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7" max="17" width="21.85546875" bestFit="1" customWidth="1"/>
    <col min="18" max="18" width="67.85546875" bestFit="1" customWidth="1"/>
    <col min="19" max="19" width="24" bestFit="1" customWidth="1"/>
  </cols>
  <sheetData>
    <row r="1" spans="2:19" x14ac:dyDescent="0.25">
      <c r="B1" t="s">
        <v>0</v>
      </c>
      <c r="C1">
        <v>35.736400000000003</v>
      </c>
      <c r="J1" t="s">
        <v>36</v>
      </c>
      <c r="K1" t="s">
        <v>3</v>
      </c>
      <c r="L1" t="s">
        <v>6</v>
      </c>
      <c r="Q1" t="s">
        <v>9</v>
      </c>
      <c r="R1" t="s">
        <v>26</v>
      </c>
      <c r="S1" t="s">
        <v>30</v>
      </c>
    </row>
    <row r="2" spans="2:19" x14ac:dyDescent="0.25">
      <c r="B2" t="s">
        <v>1</v>
      </c>
      <c r="C2">
        <v>-119.24</v>
      </c>
      <c r="J2" t="s">
        <v>37</v>
      </c>
      <c r="K2">
        <f>C3</f>
        <v>250</v>
      </c>
      <c r="L2">
        <f>C4</f>
        <v>1490</v>
      </c>
      <c r="Q2" t="s">
        <v>10</v>
      </c>
      <c r="R2" t="s">
        <v>24</v>
      </c>
    </row>
    <row r="3" spans="2:19" x14ac:dyDescent="0.25">
      <c r="B3" s="2" t="s">
        <v>3</v>
      </c>
      <c r="C3">
        <v>250</v>
      </c>
      <c r="D3" t="s">
        <v>2</v>
      </c>
      <c r="J3" t="s">
        <v>10</v>
      </c>
      <c r="K3" t="s">
        <v>38</v>
      </c>
      <c r="L3" t="s">
        <v>38</v>
      </c>
      <c r="Q3" t="s">
        <v>11</v>
      </c>
      <c r="R3" t="s">
        <v>25</v>
      </c>
      <c r="S3" t="s">
        <v>4</v>
      </c>
    </row>
    <row r="4" spans="2:19" x14ac:dyDescent="0.25">
      <c r="B4" s="2" t="s">
        <v>6</v>
      </c>
      <c r="C4">
        <v>1490</v>
      </c>
      <c r="D4" t="s">
        <v>2</v>
      </c>
      <c r="J4" t="s">
        <v>11</v>
      </c>
      <c r="K4" s="3">
        <f>C5</f>
        <v>20</v>
      </c>
      <c r="L4" s="3">
        <f>C6</f>
        <v>20</v>
      </c>
      <c r="Q4" t="s">
        <v>12</v>
      </c>
    </row>
    <row r="5" spans="2:19" x14ac:dyDescent="0.25">
      <c r="B5" s="2" t="s">
        <v>4</v>
      </c>
      <c r="C5" s="3">
        <v>20</v>
      </c>
      <c r="D5" t="s">
        <v>5</v>
      </c>
      <c r="J5" t="s">
        <v>27</v>
      </c>
      <c r="Q5" t="s">
        <v>13</v>
      </c>
      <c r="R5" t="s">
        <v>28</v>
      </c>
    </row>
    <row r="6" spans="2:19" x14ac:dyDescent="0.25">
      <c r="B6" s="2" t="s">
        <v>7</v>
      </c>
      <c r="C6" s="3">
        <v>20</v>
      </c>
      <c r="D6" t="s">
        <v>5</v>
      </c>
      <c r="J6" t="s">
        <v>39</v>
      </c>
      <c r="Q6" t="s">
        <v>14</v>
      </c>
      <c r="R6" t="s">
        <v>29</v>
      </c>
    </row>
    <row r="7" spans="2:19" x14ac:dyDescent="0.25">
      <c r="B7" s="2"/>
      <c r="C7" s="3"/>
      <c r="J7" t="s">
        <v>40</v>
      </c>
      <c r="K7" s="7">
        <f>2.3*10^-5</f>
        <v>2.3E-5</v>
      </c>
      <c r="L7" s="7">
        <f>2.3*10^-3</f>
        <v>2.3E-3</v>
      </c>
      <c r="Q7" t="s">
        <v>15</v>
      </c>
      <c r="R7" t="s">
        <v>31</v>
      </c>
    </row>
    <row r="8" spans="2:19" x14ac:dyDescent="0.25">
      <c r="B8" s="6"/>
      <c r="C8" s="6"/>
      <c r="D8" s="6"/>
      <c r="J8" t="s">
        <v>41</v>
      </c>
      <c r="K8" s="7">
        <f>0.00000028</f>
        <v>2.8000000000000002E-7</v>
      </c>
      <c r="L8" s="7">
        <f>0.000028</f>
        <v>2.8E-5</v>
      </c>
      <c r="Q8" t="s">
        <v>16</v>
      </c>
      <c r="R8" t="s">
        <v>32</v>
      </c>
    </row>
    <row r="9" spans="2:19" x14ac:dyDescent="0.25">
      <c r="B9" s="2"/>
      <c r="E9" s="6"/>
      <c r="F9" s="6"/>
      <c r="G9" s="6"/>
      <c r="J9" t="s">
        <v>42</v>
      </c>
      <c r="K9" s="8">
        <v>0.4</v>
      </c>
      <c r="L9" s="8">
        <v>0.4</v>
      </c>
      <c r="Q9" t="s">
        <v>17</v>
      </c>
      <c r="R9" t="s">
        <v>33</v>
      </c>
      <c r="S9" t="s">
        <v>8</v>
      </c>
    </row>
    <row r="10" spans="2:19" x14ac:dyDescent="0.25">
      <c r="J10" t="s">
        <v>43</v>
      </c>
      <c r="K10" s="8">
        <v>1.5200000000000001E-3</v>
      </c>
      <c r="L10" s="8">
        <v>1.5200000000000001E-3</v>
      </c>
      <c r="Q10" t="s">
        <v>18</v>
      </c>
      <c r="R10" t="s">
        <v>34</v>
      </c>
    </row>
    <row r="11" spans="2:19" x14ac:dyDescent="0.25">
      <c r="D11" s="1"/>
      <c r="J11" t="s">
        <v>44</v>
      </c>
      <c r="K11" s="8">
        <v>0</v>
      </c>
      <c r="L11" s="8">
        <v>0</v>
      </c>
      <c r="Q11" t="s">
        <v>19</v>
      </c>
    </row>
    <row r="12" spans="2:19" x14ac:dyDescent="0.25">
      <c r="C12" s="1"/>
      <c r="D12" s="1"/>
      <c r="E12" s="1"/>
      <c r="J12" t="s">
        <v>20</v>
      </c>
      <c r="K12" s="7">
        <v>2.8000000000000002E-7</v>
      </c>
      <c r="L12" s="7">
        <v>2.8E-5</v>
      </c>
      <c r="Q12" t="s">
        <v>27</v>
      </c>
      <c r="R12" t="s">
        <v>35</v>
      </c>
    </row>
    <row r="13" spans="2:19" x14ac:dyDescent="0.25">
      <c r="E13" s="1"/>
      <c r="F13" s="1"/>
      <c r="G13" s="1"/>
      <c r="J13" s="1" t="s">
        <v>17</v>
      </c>
      <c r="K13" s="9">
        <v>9.9999999999999995E-7</v>
      </c>
      <c r="L13" s="9">
        <v>1E-4</v>
      </c>
    </row>
    <row r="14" spans="2:19" x14ac:dyDescent="0.25">
      <c r="E14" s="4"/>
      <c r="F14" s="5"/>
      <c r="G14" s="4"/>
      <c r="Q14" t="s">
        <v>20</v>
      </c>
      <c r="R14" t="s">
        <v>22</v>
      </c>
    </row>
    <row r="15" spans="2:19" x14ac:dyDescent="0.25">
      <c r="E15" s="4"/>
      <c r="F15" s="5"/>
      <c r="G15" s="4"/>
      <c r="Q15" t="s">
        <v>21</v>
      </c>
      <c r="R15" t="s">
        <v>23</v>
      </c>
    </row>
    <row r="16" spans="2:19" x14ac:dyDescent="0.25">
      <c r="E16" s="4"/>
      <c r="F16" s="5"/>
      <c r="G16" s="4"/>
    </row>
    <row r="17" spans="5:7" x14ac:dyDescent="0.25">
      <c r="E17" s="5"/>
      <c r="F17" s="5"/>
      <c r="G17" s="5"/>
    </row>
    <row r="18" spans="5:7" x14ac:dyDescent="0.25">
      <c r="E18" s="5"/>
      <c r="F18" s="5"/>
      <c r="G18" s="5"/>
    </row>
    <row r="19" spans="5:7" x14ac:dyDescent="0.25">
      <c r="E19" s="5"/>
      <c r="G19" s="5"/>
    </row>
    <row r="33" ht="1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Props1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Leila Saberi</cp:lastModifiedBy>
  <dcterms:created xsi:type="dcterms:W3CDTF">2024-04-22T23:03:10Z</dcterms:created>
  <dcterms:modified xsi:type="dcterms:W3CDTF">2025-12-29T22:15:31Z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